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end" sheetId="1" state="visible" r:id="rId3"/>
    <sheet name="Control Tracker" sheetId="2" state="visible" r:id="rId4"/>
    <sheet name="Summary" sheetId="3" state="visible" r:id="rId5"/>
  </sheets>
  <definedNames>
    <definedName function="false" hidden="true" localSheetId="1" name="_xlnm._FilterDatabase" vbProcedure="false">'Control Tracker'!$A$1:$I$94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<sst xmlns="http://schemas.openxmlformats.org/spreadsheetml/2006/main" count="604" uniqueCount="277">
  <si>
    <t xml:space="preserve">Term</t>
  </si>
  <si>
    <t xml:space="preserve">Full Form</t>
  </si>
  <si>
    <t xml:space="preserve">Meaning in this workbook</t>
  </si>
  <si>
    <t xml:space="preserve">SoA</t>
  </si>
  <si>
    <t xml:space="preserve">Statement of Applicability</t>
  </si>
  <si>
    <t xml:space="preserve">ISO/IEC 27001 document recording whether each Annex A control applies, and why.</t>
  </si>
  <si>
    <t xml:space="preserve">POA / POA&amp;M</t>
  </si>
  <si>
    <t xml:space="preserve">Plan of Action &amp; Milestones</t>
  </si>
  <si>
    <t xml:space="preserve">Remediation item tracked in the Gap Analysis &amp; Remediation Roadmap (e.g. POA-01). See 'Risk/POA Link' column.</t>
  </si>
  <si>
    <t xml:space="preserve">Annex A</t>
  </si>
  <si>
    <t xml:space="preserve">ISO/IEC 27001:2022 Annex A</t>
  </si>
  <si>
    <t xml:space="preserve">The standard's catalogue of 93 information security controls, grouped into 4 themes.</t>
  </si>
  <si>
    <t xml:space="preserve">Control ID</t>
  </si>
  <si>
    <t xml:space="preserve">—</t>
  </si>
  <si>
    <t xml:space="preserve">Annex A control number, e.g. 5.1, 8.5, 7.9. First digit/theme: 5.x = Organizational, 6.x = People, 7.x = Physical, 8.x = Technological.</t>
  </si>
  <si>
    <t xml:space="preserve">Theme</t>
  </si>
  <si>
    <t xml:space="preserve">Which of the 4 Annex A control groups a control belongs to (Organizational / People / Physical / Technological).</t>
  </si>
  <si>
    <t xml:space="preserve">SoA Status</t>
  </si>
  <si>
    <t xml:space="preserve">Yes = control substantively implemented. Partial = informal/incomplete. No = not currently addressed.</t>
  </si>
  <si>
    <t xml:space="preserve">Audit Result</t>
  </si>
  <si>
    <t xml:space="preserve">Pass / Fail / Observation — outcome of the Internal Audit Checklist for the ~15 controls that were actually sampled and tested. Blank = not included in the audit sample.</t>
  </si>
  <si>
    <t xml:space="preserve">Risk/POA Link</t>
  </si>
  <si>
    <t xml:space="preserve">Cross-reference to a specific risk (Risk Register) or remediation item (POA&amp;M) tied to this control, where one exists.</t>
  </si>
  <si>
    <t xml:space="preserve">MFA</t>
  </si>
  <si>
    <t xml:space="preserve">Multi-Factor Authentication</t>
  </si>
  <si>
    <t xml:space="preserve">Referenced in several control notes (e.g. VPN gateway finding).</t>
  </si>
  <si>
    <t xml:space="preserve">PAM</t>
  </si>
  <si>
    <t xml:space="preserve">Privileged Access Management</t>
  </si>
  <si>
    <t xml:space="preserve">A recommended solution for managing shared/admin account risk (see POA-03).</t>
  </si>
  <si>
    <t xml:space="preserve">EDR</t>
  </si>
  <si>
    <t xml:space="preserve">Endpoint Detection &amp; Response</t>
  </si>
  <si>
    <t xml:space="preserve">Endpoint security tooling referenced under control 8.7.</t>
  </si>
  <si>
    <t xml:space="preserve">SIEM</t>
  </si>
  <si>
    <t xml:space="preserve">Security Information &amp; Event Management</t>
  </si>
  <si>
    <t xml:space="preserve">Logging/monitoring platform referenced under controls 8.15 / 8.16 (Wazuh, in this case study).</t>
  </si>
  <si>
    <t xml:space="preserve">VAPT</t>
  </si>
  <si>
    <t xml:space="preserve">Vulnerability Assessment &amp; Penetration Testing</t>
  </si>
  <si>
    <t xml:space="preserve">Referenced under control 8.8.</t>
  </si>
  <si>
    <t xml:space="preserve">CI/CD</t>
  </si>
  <si>
    <t xml:space="preserve">Continuous Integration / Continuous Deployment</t>
  </si>
  <si>
    <t xml:space="preserve">Software delivery pipeline referenced in the Risk Register and control 5.21.</t>
  </si>
  <si>
    <t xml:space="preserve">ISMS</t>
  </si>
  <si>
    <t xml:space="preserve">Information Security Management System</t>
  </si>
  <si>
    <t xml:space="preserve">The overall system of policy, risk assessment, controls, and audit that these documents collectively form.</t>
  </si>
  <si>
    <t xml:space="preserve">Title</t>
  </si>
  <si>
    <t xml:space="preserve">Owner</t>
  </si>
  <si>
    <t xml:space="preserve">Target Date</t>
  </si>
  <si>
    <t xml:space="preserve">Notes</t>
  </si>
  <si>
    <t xml:space="preserve">5.1</t>
  </si>
  <si>
    <t xml:space="preserve">Policies for information security</t>
  </si>
  <si>
    <t xml:space="preserve">Organizational</t>
  </si>
  <si>
    <t xml:space="preserve">Yes</t>
  </si>
  <si>
    <t xml:space="preserve">Pass</t>
  </si>
  <si>
    <t xml:space="preserve">5.2</t>
  </si>
  <si>
    <t xml:space="preserve">Information security roles and responsibilities</t>
  </si>
  <si>
    <t xml:space="preserve">5.3</t>
  </si>
  <si>
    <t xml:space="preserve">Segregation of duties</t>
  </si>
  <si>
    <t xml:space="preserve">Partial</t>
  </si>
  <si>
    <t xml:space="preserve">IT Security Lead</t>
  </si>
  <si>
    <t xml:space="preserve">TBD next cycle</t>
  </si>
  <si>
    <t xml:space="preserve">5.4</t>
  </si>
  <si>
    <t xml:space="preserve">Management responsibilities</t>
  </si>
  <si>
    <t xml:space="preserve">5.5</t>
  </si>
  <si>
    <t xml:space="preserve">Contact with authorities</t>
  </si>
  <si>
    <t xml:space="preserve">5.6</t>
  </si>
  <si>
    <t xml:space="preserve">Contact with special interest groups</t>
  </si>
  <si>
    <t xml:space="preserve">No</t>
  </si>
  <si>
    <t xml:space="preserve">5.7</t>
  </si>
  <si>
    <t xml:space="preserve">Threat intelligence</t>
  </si>
  <si>
    <t xml:space="preserve">5.8</t>
  </si>
  <si>
    <t xml:space="preserve">Information security in project management</t>
  </si>
  <si>
    <t xml:space="preserve">5.9</t>
  </si>
  <si>
    <t xml:space="preserve">Inventory of information and other associated assets</t>
  </si>
  <si>
    <t xml:space="preserve">5.10</t>
  </si>
  <si>
    <t xml:space="preserve">Acceptable use of information and other associated assets</t>
  </si>
  <si>
    <t xml:space="preserve">5.11</t>
  </si>
  <si>
    <t xml:space="preserve">Return of assets</t>
  </si>
  <si>
    <t xml:space="preserve">5.12</t>
  </si>
  <si>
    <t xml:space="preserve">Classification of information</t>
  </si>
  <si>
    <t xml:space="preserve">90 days</t>
  </si>
  <si>
    <t xml:space="preserve">5.13</t>
  </si>
  <si>
    <t xml:space="preserve">Labelling of information</t>
  </si>
  <si>
    <t xml:space="preserve">5.14</t>
  </si>
  <si>
    <t xml:space="preserve">Information transfer</t>
  </si>
  <si>
    <t xml:space="preserve">5.15</t>
  </si>
  <si>
    <t xml:space="preserve">Access control</t>
  </si>
  <si>
    <t xml:space="preserve">5.16</t>
  </si>
  <si>
    <t xml:space="preserve">Identity management</t>
  </si>
  <si>
    <t xml:space="preserve">5.17</t>
  </si>
  <si>
    <t xml:space="preserve">Authentication information</t>
  </si>
  <si>
    <t xml:space="preserve">5.18</t>
  </si>
  <si>
    <t xml:space="preserve">Access rights</t>
  </si>
  <si>
    <t xml:space="preserve">5.19</t>
  </si>
  <si>
    <t xml:space="preserve">Information security in supplier relationships</t>
  </si>
  <si>
    <t xml:space="preserve">Procurement</t>
  </si>
  <si>
    <t xml:space="preserve">5.20</t>
  </si>
  <si>
    <t xml:space="preserve">Addressing information security within supplier agreements</t>
  </si>
  <si>
    <t xml:space="preserve">5.21</t>
  </si>
  <si>
    <t xml:space="preserve">Managing information security in the ICT supply chain</t>
  </si>
  <si>
    <t xml:space="preserve">5.22</t>
  </si>
  <si>
    <t xml:space="preserve">Monitoring, review and change management of supplier services</t>
  </si>
  <si>
    <t xml:space="preserve">5.23</t>
  </si>
  <si>
    <t xml:space="preserve">Information security for use of cloud services</t>
  </si>
  <si>
    <t xml:space="preserve">5.24</t>
  </si>
  <si>
    <t xml:space="preserve">Information security incident management planning and preparation</t>
  </si>
  <si>
    <t xml:space="preserve">5.25</t>
  </si>
  <si>
    <t xml:space="preserve">Assessment and decision on information security events</t>
  </si>
  <si>
    <t xml:space="preserve">5.26</t>
  </si>
  <si>
    <t xml:space="preserve">Response to information security incidents</t>
  </si>
  <si>
    <t xml:space="preserve">5.27</t>
  </si>
  <si>
    <t xml:space="preserve">Learning from information security incidents</t>
  </si>
  <si>
    <t xml:space="preserve">5.28</t>
  </si>
  <si>
    <t xml:space="preserve">Collection of evidence</t>
  </si>
  <si>
    <t xml:space="preserve">5.29</t>
  </si>
  <si>
    <t xml:space="preserve">Information security during disruption</t>
  </si>
  <si>
    <t xml:space="preserve">5.30</t>
  </si>
  <si>
    <t xml:space="preserve">ICT readiness for business continuity</t>
  </si>
  <si>
    <t xml:space="preserve">CTO</t>
  </si>
  <si>
    <t xml:space="preserve">5.31</t>
  </si>
  <si>
    <t xml:space="preserve">Legal, statutory, regulatory and contractual requirements</t>
  </si>
  <si>
    <t xml:space="preserve">5.32</t>
  </si>
  <si>
    <t xml:space="preserve">Intellectual property rights</t>
  </si>
  <si>
    <t xml:space="preserve">5.33</t>
  </si>
  <si>
    <t xml:space="preserve">Protection of records</t>
  </si>
  <si>
    <t xml:space="preserve">5.34</t>
  </si>
  <si>
    <t xml:space="preserve">Privacy and protection of PII</t>
  </si>
  <si>
    <t xml:space="preserve">5.35</t>
  </si>
  <si>
    <t xml:space="preserve">Independent review of information security</t>
  </si>
  <si>
    <t xml:space="preserve">5.36</t>
  </si>
  <si>
    <t xml:space="preserve">Compliance with policies, rules and standards for information security</t>
  </si>
  <si>
    <t xml:space="preserve">Observation</t>
  </si>
  <si>
    <t xml:space="preserve">POA-12</t>
  </si>
  <si>
    <t xml:space="preserve">See POA&amp;M</t>
  </si>
  <si>
    <t xml:space="preserve">Linked to POA-12</t>
  </si>
  <si>
    <t xml:space="preserve">5.37</t>
  </si>
  <si>
    <t xml:space="preserve">Documented operating procedures</t>
  </si>
  <si>
    <t xml:space="preserve">6.1</t>
  </si>
  <si>
    <t xml:space="preserve">Screening</t>
  </si>
  <si>
    <t xml:space="preserve">People</t>
  </si>
  <si>
    <t xml:space="preserve">HR</t>
  </si>
  <si>
    <t xml:space="preserve">6.2</t>
  </si>
  <si>
    <t xml:space="preserve">Terms and conditions of employment</t>
  </si>
  <si>
    <t xml:space="preserve">6.3</t>
  </si>
  <si>
    <t xml:space="preserve">Information security awareness, education and training</t>
  </si>
  <si>
    <t xml:space="preserve">POA-10</t>
  </si>
  <si>
    <t xml:space="preserve">Linked to POA-10</t>
  </si>
  <si>
    <t xml:space="preserve">6.4</t>
  </si>
  <si>
    <t xml:space="preserve">Disciplinary process</t>
  </si>
  <si>
    <t xml:space="preserve">120 days</t>
  </si>
  <si>
    <t xml:space="preserve">6.5</t>
  </si>
  <si>
    <t xml:space="preserve">Responsibilities after termination or change of employment</t>
  </si>
  <si>
    <t xml:space="preserve">6.6</t>
  </si>
  <si>
    <t xml:space="preserve">Confidentiality or non-disclosure agreements</t>
  </si>
  <si>
    <t xml:space="preserve">6.7</t>
  </si>
  <si>
    <t xml:space="preserve">Remote working</t>
  </si>
  <si>
    <t xml:space="preserve">6.8</t>
  </si>
  <si>
    <t xml:space="preserve">Information security event reporting</t>
  </si>
  <si>
    <t xml:space="preserve">7.1</t>
  </si>
  <si>
    <t xml:space="preserve">Physical security perimeters</t>
  </si>
  <si>
    <t xml:space="preserve">Physical</t>
  </si>
  <si>
    <t xml:space="preserve">7.2</t>
  </si>
  <si>
    <t xml:space="preserve">Physical entry</t>
  </si>
  <si>
    <t xml:space="preserve">7.3</t>
  </si>
  <si>
    <t xml:space="preserve">Securing offices, rooms and facilities</t>
  </si>
  <si>
    <t xml:space="preserve">7.4</t>
  </si>
  <si>
    <t xml:space="preserve">Physical security monitoring</t>
  </si>
  <si>
    <t xml:space="preserve">7.5</t>
  </si>
  <si>
    <t xml:space="preserve">Protecting against physical and environmental threats</t>
  </si>
  <si>
    <t xml:space="preserve">7.6</t>
  </si>
  <si>
    <t xml:space="preserve">Working in secure areas</t>
  </si>
  <si>
    <t xml:space="preserve">7.7</t>
  </si>
  <si>
    <t xml:space="preserve">Clear desk and clear screen</t>
  </si>
  <si>
    <t xml:space="preserve">7.8</t>
  </si>
  <si>
    <t xml:space="preserve">Equipment siting and protection</t>
  </si>
  <si>
    <t xml:space="preserve">7.9</t>
  </si>
  <si>
    <t xml:space="preserve">Security of assets off-premises</t>
  </si>
  <si>
    <t xml:space="preserve">7.10</t>
  </si>
  <si>
    <t xml:space="preserve">Storage media</t>
  </si>
  <si>
    <t xml:space="preserve">7.11</t>
  </si>
  <si>
    <t xml:space="preserve">Supporting utilities</t>
  </si>
  <si>
    <t xml:space="preserve">7.12</t>
  </si>
  <si>
    <t xml:space="preserve">Cabling security</t>
  </si>
  <si>
    <t xml:space="preserve">7.13</t>
  </si>
  <si>
    <t xml:space="preserve">Equipment maintenance</t>
  </si>
  <si>
    <t xml:space="preserve">7.14</t>
  </si>
  <si>
    <t xml:space="preserve">Secure disposal or re-use of equipment</t>
  </si>
  <si>
    <t xml:space="preserve">8.1</t>
  </si>
  <si>
    <t xml:space="preserve">User end point devices</t>
  </si>
  <si>
    <t xml:space="preserve">Technological</t>
  </si>
  <si>
    <t xml:space="preserve">8.2</t>
  </si>
  <si>
    <t xml:space="preserve">Privileged access rights</t>
  </si>
  <si>
    <t xml:space="preserve">Fail</t>
  </si>
  <si>
    <t xml:space="preserve">POA-03</t>
  </si>
  <si>
    <t xml:space="preserve">Linked to POA-03</t>
  </si>
  <si>
    <t xml:space="preserve">8.3</t>
  </si>
  <si>
    <t xml:space="preserve">Information access restriction</t>
  </si>
  <si>
    <t xml:space="preserve">8.4</t>
  </si>
  <si>
    <t xml:space="preserve">Access to source code</t>
  </si>
  <si>
    <t xml:space="preserve">POA-02</t>
  </si>
  <si>
    <t xml:space="preserve">Linked to POA-02</t>
  </si>
  <si>
    <t xml:space="preserve">8.5</t>
  </si>
  <si>
    <t xml:space="preserve">Secure authentication</t>
  </si>
  <si>
    <t xml:space="preserve">POA-01</t>
  </si>
  <si>
    <t xml:space="preserve">Linked to POA-01</t>
  </si>
  <si>
    <t xml:space="preserve">8.6</t>
  </si>
  <si>
    <t xml:space="preserve">Capacity management</t>
  </si>
  <si>
    <t xml:space="preserve">8.7</t>
  </si>
  <si>
    <t xml:space="preserve">Protection against malware</t>
  </si>
  <si>
    <t xml:space="preserve">8.8</t>
  </si>
  <si>
    <t xml:space="preserve">Management of technical vulnerabilities</t>
  </si>
  <si>
    <t xml:space="preserve">POA-09</t>
  </si>
  <si>
    <t xml:space="preserve">Linked to POA-09</t>
  </si>
  <si>
    <t xml:space="preserve">8.9</t>
  </si>
  <si>
    <t xml:space="preserve">Configuration management</t>
  </si>
  <si>
    <t xml:space="preserve">8.10</t>
  </si>
  <si>
    <t xml:space="preserve">Information deletion</t>
  </si>
  <si>
    <t xml:space="preserve">8.11</t>
  </si>
  <si>
    <t xml:space="preserve">Data masking</t>
  </si>
  <si>
    <t xml:space="preserve">8.12</t>
  </si>
  <si>
    <t xml:space="preserve">Data leakage prevention</t>
  </si>
  <si>
    <t xml:space="preserve">8.13</t>
  </si>
  <si>
    <t xml:space="preserve">Information backup</t>
  </si>
  <si>
    <t xml:space="preserve">POA-04</t>
  </si>
  <si>
    <t xml:space="preserve">Linked to POA-04</t>
  </si>
  <si>
    <t xml:space="preserve">8.14</t>
  </si>
  <si>
    <t xml:space="preserve">Redundancy of information processing facilities</t>
  </si>
  <si>
    <t xml:space="preserve">8.15</t>
  </si>
  <si>
    <t xml:space="preserve">Logging</t>
  </si>
  <si>
    <t xml:space="preserve">8.16</t>
  </si>
  <si>
    <t xml:space="preserve">Monitoring activities</t>
  </si>
  <si>
    <t xml:space="preserve">8.17</t>
  </si>
  <si>
    <t xml:space="preserve">Clock synchronisation</t>
  </si>
  <si>
    <t xml:space="preserve">8.18</t>
  </si>
  <si>
    <t xml:space="preserve">Use of privileged utility programs</t>
  </si>
  <si>
    <t xml:space="preserve">8.19</t>
  </si>
  <si>
    <t xml:space="preserve">Installation of software on operational systems</t>
  </si>
  <si>
    <t xml:space="preserve">8.20</t>
  </si>
  <si>
    <t xml:space="preserve">Networks security</t>
  </si>
  <si>
    <t xml:space="preserve">8.21</t>
  </si>
  <si>
    <t xml:space="preserve">Security of network services</t>
  </si>
  <si>
    <t xml:space="preserve">8.22</t>
  </si>
  <si>
    <t xml:space="preserve">Segregation of networks</t>
  </si>
  <si>
    <t xml:space="preserve">8.23</t>
  </si>
  <si>
    <t xml:space="preserve">Web filtering</t>
  </si>
  <si>
    <t xml:space="preserve">8.24</t>
  </si>
  <si>
    <t xml:space="preserve">Use of cryptography</t>
  </si>
  <si>
    <t xml:space="preserve">8.25</t>
  </si>
  <si>
    <t xml:space="preserve">Secure development life cycle</t>
  </si>
  <si>
    <t xml:space="preserve">8.26</t>
  </si>
  <si>
    <t xml:space="preserve">Application security requirements</t>
  </si>
  <si>
    <t xml:space="preserve">8.27</t>
  </si>
  <si>
    <t xml:space="preserve">Secure system architecture and engineering principles</t>
  </si>
  <si>
    <t xml:space="preserve">8.28</t>
  </si>
  <si>
    <t xml:space="preserve">Secure coding</t>
  </si>
  <si>
    <t xml:space="preserve">8.29</t>
  </si>
  <si>
    <t xml:space="preserve">Security testing in development and acceptance</t>
  </si>
  <si>
    <t xml:space="preserve">8.30</t>
  </si>
  <si>
    <t xml:space="preserve">Outsourced development</t>
  </si>
  <si>
    <t xml:space="preserve">8.31</t>
  </si>
  <si>
    <t xml:space="preserve">Separation of development, test and production environments</t>
  </si>
  <si>
    <t xml:space="preserve">8.32</t>
  </si>
  <si>
    <t xml:space="preserve">Change management</t>
  </si>
  <si>
    <t xml:space="preserve">8.33</t>
  </si>
  <si>
    <t xml:space="preserve">Test information</t>
  </si>
  <si>
    <t xml:space="preserve">8.34</t>
  </si>
  <si>
    <t xml:space="preserve">Protection of information systems during audit testing</t>
  </si>
  <si>
    <t xml:space="preserve">Metric</t>
  </si>
  <si>
    <t xml:space="preserve">Count</t>
  </si>
  <si>
    <t xml:space="preserve">Total Annex A Controls</t>
  </si>
  <si>
    <t xml:space="preserve">SoA — Yes</t>
  </si>
  <si>
    <t xml:space="preserve">SoA — Partial</t>
  </si>
  <si>
    <t xml:space="preserve">SoA — No</t>
  </si>
  <si>
    <t xml:space="preserve">Controls Audited (Cycle 1)</t>
  </si>
  <si>
    <t xml:space="preserve">Audit — Pass</t>
  </si>
  <si>
    <t xml:space="preserve">Audit — Fail (Non-conformity)</t>
  </si>
  <si>
    <t xml:space="preserve">Audit — Observation</t>
  </si>
  <si>
    <t xml:space="preserve">Open POA&amp;M Items Linked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</si>
</sst>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Times New Roman"/>
      <family val="0"/>
      <charset val="1"/>
    </font>
    <font>
      <sz val="10"/>
      <name val="Times New Roman"/>
      <family val="0"/>
      <charset val="1"/>
    </font>
    <font>
      <sz val="11"/>
      <name val="Times New Roman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9EAD3"/>
        <bgColor rgb="FFCCFFFF"/>
      </patternFill>
    </fill>
    <fill>
      <patternFill patternType="solid">
        <fgColor rgb="FFFFF6BF"/>
        <bgColor rgb="FFFFFF99"/>
      </patternFill>
    </fill>
    <fill>
      <patternFill patternType="solid">
        <fgColor rgb="FFF4C7C3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4472C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F4C7C3"/>
          <bgColor rgb="FF000000"/>
        </patternFill>
      </fill>
    </dxf>
    <dxf>
      <fill>
        <patternFill patternType="solid">
          <fgColor rgb="FFFFF6B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B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7C3"/>
      <rgbColor rgb="FF4472C4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2" t="s">
        <v>4</v>
      </c>
      <c r="C2" s="2" t="s">
        <v>5</v>
      </c>
    </row>
    <row r="3" customFormat="false" ht="23.85" hidden="false" customHeight="false" outlineLevel="0" collapsed="false">
      <c r="A3" s="2" t="s">
        <v>6</v>
      </c>
      <c r="B3" s="2" t="s">
        <v>7</v>
      </c>
      <c r="C3" s="2" t="s">
        <v>8</v>
      </c>
    </row>
    <row r="4" customFormat="false" ht="15" hidden="false" customHeight="false" outlineLevel="0" collapsed="false">
      <c r="A4" s="2" t="s">
        <v>9</v>
      </c>
      <c r="B4" s="2" t="s">
        <v>10</v>
      </c>
      <c r="C4" s="2" t="s">
        <v>11</v>
      </c>
    </row>
    <row r="5" customFormat="false" ht="23.85" hidden="false" customHeight="false" outlineLevel="0" collapsed="false">
      <c r="A5" s="2" t="s">
        <v>12</v>
      </c>
      <c r="B5" s="2" t="s">
        <v>13</v>
      </c>
      <c r="C5" s="2" t="s">
        <v>14</v>
      </c>
    </row>
    <row r="6" customFormat="false" ht="23.85" hidden="false" customHeight="false" outlineLevel="0" collapsed="false">
      <c r="A6" s="2" t="s">
        <v>15</v>
      </c>
      <c r="B6" s="2" t="s">
        <v>13</v>
      </c>
      <c r="C6" s="2" t="s">
        <v>16</v>
      </c>
    </row>
    <row r="7" customFormat="false" ht="23.85" hidden="false" customHeight="false" outlineLevel="0" collapsed="false">
      <c r="A7" s="2" t="s">
        <v>17</v>
      </c>
      <c r="B7" s="2" t="s">
        <v>13</v>
      </c>
      <c r="C7" s="2" t="s">
        <v>18</v>
      </c>
    </row>
    <row r="8" customFormat="false" ht="23.85" hidden="false" customHeight="false" outlineLevel="0" collapsed="false">
      <c r="A8" s="2" t="s">
        <v>19</v>
      </c>
      <c r="B8" s="2" t="s">
        <v>13</v>
      </c>
      <c r="C8" s="2" t="s">
        <v>20</v>
      </c>
    </row>
    <row r="9" customFormat="false" ht="23.85" hidden="false" customHeight="false" outlineLevel="0" collapsed="false">
      <c r="A9" s="2" t="s">
        <v>21</v>
      </c>
      <c r="B9" s="2" t="s">
        <v>13</v>
      </c>
      <c r="C9" s="2" t="s">
        <v>22</v>
      </c>
    </row>
    <row r="10" customFormat="false" ht="15" hidden="false" customHeight="false" outlineLevel="0" collapsed="false">
      <c r="A10" s="2" t="s">
        <v>23</v>
      </c>
      <c r="B10" s="2" t="s">
        <v>24</v>
      </c>
      <c r="C10" s="2" t="s">
        <v>25</v>
      </c>
    </row>
    <row r="11" customFormat="false" ht="15" hidden="false" customHeight="false" outlineLevel="0" collapsed="false">
      <c r="A11" s="2" t="s">
        <v>26</v>
      </c>
      <c r="B11" s="2" t="s">
        <v>27</v>
      </c>
      <c r="C11" s="2" t="s">
        <v>28</v>
      </c>
    </row>
    <row r="12" customFormat="false" ht="15" hidden="false" customHeight="false" outlineLevel="0" collapsed="false">
      <c r="A12" s="2" t="s">
        <v>29</v>
      </c>
      <c r="B12" s="2" t="s">
        <v>30</v>
      </c>
      <c r="C12" s="2" t="s">
        <v>31</v>
      </c>
    </row>
    <row r="13" customFormat="false" ht="15" hidden="false" customHeight="false" outlineLevel="0" collapsed="false">
      <c r="A13" s="2" t="s">
        <v>32</v>
      </c>
      <c r="B13" s="2" t="s">
        <v>33</v>
      </c>
      <c r="C13" s="2" t="s">
        <v>34</v>
      </c>
    </row>
    <row r="14" customFormat="false" ht="23.85" hidden="false" customHeight="false" outlineLevel="0" collapsed="false">
      <c r="A14" s="2" t="s">
        <v>35</v>
      </c>
      <c r="B14" s="2" t="s">
        <v>36</v>
      </c>
      <c r="C14" s="2" t="s">
        <v>37</v>
      </c>
    </row>
    <row r="15" customFormat="false" ht="23.85" hidden="false" customHeight="false" outlineLevel="0" collapsed="false">
      <c r="A15" s="2" t="s">
        <v>38</v>
      </c>
      <c r="B15" s="2" t="s">
        <v>39</v>
      </c>
      <c r="C15" s="2" t="s">
        <v>40</v>
      </c>
    </row>
    <row r="16" customFormat="false" ht="23.85" hidden="false" customHeight="false" outlineLevel="0" collapsed="false">
      <c r="A16" s="2" t="s">
        <v>41</v>
      </c>
      <c r="B16" s="2" t="s">
        <v>42</v>
      </c>
      <c r="C16" s="2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20"/>
  </cols>
  <sheetData>
    <row r="1" customFormat="false" ht="37.3" hidden="false" customHeight="false" outlineLevel="0" collapsed="false">
      <c r="A1" s="3" t="s">
        <v>12</v>
      </c>
      <c r="B1" s="3" t="s">
        <v>44</v>
      </c>
      <c r="C1" s="3" t="s">
        <v>15</v>
      </c>
      <c r="D1" s="3" t="s">
        <v>17</v>
      </c>
      <c r="E1" s="3" t="s">
        <v>19</v>
      </c>
      <c r="F1" s="3" t="s">
        <v>21</v>
      </c>
      <c r="G1" s="3" t="s">
        <v>45</v>
      </c>
      <c r="H1" s="3" t="s">
        <v>46</v>
      </c>
      <c r="I1" s="3" t="s">
        <v>47</v>
      </c>
    </row>
    <row r="2" customFormat="false" ht="15" hidden="false" customHeight="false" outlineLevel="0" collapsed="false">
      <c r="A2" s="2" t="s">
        <v>48</v>
      </c>
      <c r="B2" s="2" t="s">
        <v>49</v>
      </c>
      <c r="C2" s="2" t="s">
        <v>50</v>
      </c>
      <c r="D2" s="4" t="s">
        <v>51</v>
      </c>
      <c r="E2" s="4" t="s">
        <v>52</v>
      </c>
      <c r="F2" s="2"/>
      <c r="G2" s="2"/>
      <c r="H2" s="2"/>
      <c r="I2" s="2"/>
    </row>
    <row r="3" customFormat="false" ht="15" hidden="false" customHeight="false" outlineLevel="0" collapsed="false">
      <c r="A3" s="2" t="s">
        <v>53</v>
      </c>
      <c r="B3" s="2" t="s">
        <v>54</v>
      </c>
      <c r="C3" s="2" t="s">
        <v>50</v>
      </c>
      <c r="D3" s="4" t="s">
        <v>51</v>
      </c>
      <c r="E3" s="2"/>
      <c r="F3" s="2"/>
      <c r="G3" s="2"/>
      <c r="H3" s="2"/>
      <c r="I3" s="2"/>
    </row>
    <row r="4" customFormat="false" ht="15" hidden="false" customHeight="false" outlineLevel="0" collapsed="false">
      <c r="A4" s="2" t="s">
        <v>55</v>
      </c>
      <c r="B4" s="2" t="s">
        <v>56</v>
      </c>
      <c r="C4" s="2" t="s">
        <v>50</v>
      </c>
      <c r="D4" s="5" t="s">
        <v>57</v>
      </c>
      <c r="E4" s="2"/>
      <c r="F4" s="2"/>
      <c r="G4" s="2" t="s">
        <v>58</v>
      </c>
      <c r="H4" s="2" t="s">
        <v>59</v>
      </c>
      <c r="I4" s="2"/>
    </row>
    <row r="5" customFormat="false" ht="15" hidden="false" customHeight="false" outlineLevel="0" collapsed="false">
      <c r="A5" s="2" t="s">
        <v>60</v>
      </c>
      <c r="B5" s="2" t="s">
        <v>61</v>
      </c>
      <c r="C5" s="2" t="s">
        <v>50</v>
      </c>
      <c r="D5" s="4" t="s">
        <v>51</v>
      </c>
      <c r="E5" s="2"/>
      <c r="F5" s="2"/>
      <c r="G5" s="2"/>
      <c r="H5" s="2"/>
      <c r="I5" s="2"/>
    </row>
    <row r="6" customFormat="false" ht="15" hidden="false" customHeight="false" outlineLevel="0" collapsed="false">
      <c r="A6" s="2" t="s">
        <v>62</v>
      </c>
      <c r="B6" s="2" t="s">
        <v>63</v>
      </c>
      <c r="C6" s="2" t="s">
        <v>50</v>
      </c>
      <c r="D6" s="5" t="s">
        <v>57</v>
      </c>
      <c r="E6" s="2"/>
      <c r="F6" s="2"/>
      <c r="G6" s="2" t="s">
        <v>58</v>
      </c>
      <c r="H6" s="2" t="s">
        <v>59</v>
      </c>
      <c r="I6" s="2"/>
    </row>
    <row r="7" customFormat="false" ht="15" hidden="false" customHeight="false" outlineLevel="0" collapsed="false">
      <c r="A7" s="2" t="s">
        <v>64</v>
      </c>
      <c r="B7" s="2" t="s">
        <v>65</v>
      </c>
      <c r="C7" s="2" t="s">
        <v>50</v>
      </c>
      <c r="D7" s="6" t="s">
        <v>66</v>
      </c>
      <c r="E7" s="2"/>
      <c r="F7" s="2"/>
      <c r="G7" s="2" t="s">
        <v>58</v>
      </c>
      <c r="H7" s="2" t="s">
        <v>59</v>
      </c>
      <c r="I7" s="2"/>
    </row>
    <row r="8" customFormat="false" ht="15" hidden="false" customHeight="false" outlineLevel="0" collapsed="false">
      <c r="A8" s="2" t="s">
        <v>67</v>
      </c>
      <c r="B8" s="2" t="s">
        <v>68</v>
      </c>
      <c r="C8" s="2" t="s">
        <v>50</v>
      </c>
      <c r="D8" s="5" t="s">
        <v>57</v>
      </c>
      <c r="E8" s="2"/>
      <c r="F8" s="2"/>
      <c r="G8" s="2" t="s">
        <v>58</v>
      </c>
      <c r="H8" s="2" t="s">
        <v>59</v>
      </c>
      <c r="I8" s="2"/>
    </row>
    <row r="9" customFormat="false" ht="15" hidden="false" customHeight="false" outlineLevel="0" collapsed="false">
      <c r="A9" s="2" t="s">
        <v>69</v>
      </c>
      <c r="B9" s="2" t="s">
        <v>70</v>
      </c>
      <c r="C9" s="2" t="s">
        <v>50</v>
      </c>
      <c r="D9" s="5" t="s">
        <v>57</v>
      </c>
      <c r="E9" s="2"/>
      <c r="F9" s="2"/>
      <c r="G9" s="2" t="s">
        <v>58</v>
      </c>
      <c r="H9" s="2" t="s">
        <v>59</v>
      </c>
      <c r="I9" s="2"/>
    </row>
    <row r="10" customFormat="false" ht="15" hidden="false" customHeight="false" outlineLevel="0" collapsed="false">
      <c r="A10" s="2" t="s">
        <v>71</v>
      </c>
      <c r="B10" s="2" t="s">
        <v>72</v>
      </c>
      <c r="C10" s="2" t="s">
        <v>50</v>
      </c>
      <c r="D10" s="4" t="s">
        <v>51</v>
      </c>
      <c r="E10" s="2"/>
      <c r="F10" s="2"/>
      <c r="G10" s="2"/>
      <c r="H10" s="2"/>
      <c r="I10" s="2"/>
    </row>
    <row r="11" customFormat="false" ht="23.85" hidden="false" customHeight="false" outlineLevel="0" collapsed="false">
      <c r="A11" s="2" t="s">
        <v>73</v>
      </c>
      <c r="B11" s="2" t="s">
        <v>74</v>
      </c>
      <c r="C11" s="2" t="s">
        <v>50</v>
      </c>
      <c r="D11" s="5" t="s">
        <v>57</v>
      </c>
      <c r="E11" s="2"/>
      <c r="F11" s="2"/>
      <c r="G11" s="2" t="s">
        <v>58</v>
      </c>
      <c r="H11" s="2" t="s">
        <v>59</v>
      </c>
      <c r="I11" s="2"/>
    </row>
    <row r="12" customFormat="false" ht="15" hidden="false" customHeight="false" outlineLevel="0" collapsed="false">
      <c r="A12" s="2" t="s">
        <v>75</v>
      </c>
      <c r="B12" s="2" t="s">
        <v>76</v>
      </c>
      <c r="C12" s="2" t="s">
        <v>50</v>
      </c>
      <c r="D12" s="4" t="s">
        <v>51</v>
      </c>
      <c r="E12" s="2"/>
      <c r="F12" s="2"/>
      <c r="G12" s="2"/>
      <c r="H12" s="2"/>
      <c r="I12" s="2"/>
    </row>
    <row r="13" customFormat="false" ht="15" hidden="false" customHeight="false" outlineLevel="0" collapsed="false">
      <c r="A13" s="2" t="s">
        <v>77</v>
      </c>
      <c r="B13" s="2" t="s">
        <v>78</v>
      </c>
      <c r="C13" s="2" t="s">
        <v>50</v>
      </c>
      <c r="D13" s="6" t="s">
        <v>66</v>
      </c>
      <c r="E13" s="2"/>
      <c r="F13" s="2"/>
      <c r="G13" s="2" t="s">
        <v>58</v>
      </c>
      <c r="H13" s="2" t="s">
        <v>79</v>
      </c>
      <c r="I13" s="2"/>
    </row>
    <row r="14" customFormat="false" ht="15" hidden="false" customHeight="false" outlineLevel="0" collapsed="false">
      <c r="A14" s="2" t="s">
        <v>80</v>
      </c>
      <c r="B14" s="2" t="s">
        <v>81</v>
      </c>
      <c r="C14" s="2" t="s">
        <v>50</v>
      </c>
      <c r="D14" s="6" t="s">
        <v>66</v>
      </c>
      <c r="E14" s="2"/>
      <c r="F14" s="2"/>
      <c r="G14" s="2" t="s">
        <v>58</v>
      </c>
      <c r="H14" s="2" t="s">
        <v>79</v>
      </c>
      <c r="I14" s="2"/>
    </row>
    <row r="15" customFormat="false" ht="15" hidden="false" customHeight="false" outlineLevel="0" collapsed="false">
      <c r="A15" s="2" t="s">
        <v>82</v>
      </c>
      <c r="B15" s="2" t="s">
        <v>83</v>
      </c>
      <c r="C15" s="2" t="s">
        <v>50</v>
      </c>
      <c r="D15" s="5" t="s">
        <v>57</v>
      </c>
      <c r="E15" s="2"/>
      <c r="F15" s="2"/>
      <c r="G15" s="2" t="s">
        <v>58</v>
      </c>
      <c r="H15" s="2" t="s">
        <v>59</v>
      </c>
      <c r="I15" s="2"/>
    </row>
    <row r="16" customFormat="false" ht="15" hidden="false" customHeight="false" outlineLevel="0" collapsed="false">
      <c r="A16" s="2" t="s">
        <v>84</v>
      </c>
      <c r="B16" s="2" t="s">
        <v>85</v>
      </c>
      <c r="C16" s="2" t="s">
        <v>50</v>
      </c>
      <c r="D16" s="4" t="s">
        <v>51</v>
      </c>
      <c r="E16" s="2"/>
      <c r="F16" s="2"/>
      <c r="G16" s="2"/>
      <c r="H16" s="2"/>
      <c r="I16" s="2"/>
    </row>
    <row r="17" customFormat="false" ht="15" hidden="false" customHeight="false" outlineLevel="0" collapsed="false">
      <c r="A17" s="2" t="s">
        <v>86</v>
      </c>
      <c r="B17" s="2" t="s">
        <v>87</v>
      </c>
      <c r="C17" s="2" t="s">
        <v>50</v>
      </c>
      <c r="D17" s="4" t="s">
        <v>51</v>
      </c>
      <c r="E17" s="2"/>
      <c r="F17" s="2"/>
      <c r="G17" s="2"/>
      <c r="H17" s="2"/>
      <c r="I17" s="2"/>
    </row>
    <row r="18" customFormat="false" ht="15" hidden="false" customHeight="false" outlineLevel="0" collapsed="false">
      <c r="A18" s="2" t="s">
        <v>88</v>
      </c>
      <c r="B18" s="2" t="s">
        <v>89</v>
      </c>
      <c r="C18" s="2" t="s">
        <v>50</v>
      </c>
      <c r="D18" s="4" t="s">
        <v>51</v>
      </c>
      <c r="E18" s="2"/>
      <c r="F18" s="2"/>
      <c r="G18" s="2"/>
      <c r="H18" s="2"/>
      <c r="I18" s="2"/>
    </row>
    <row r="19" customFormat="false" ht="15" hidden="false" customHeight="false" outlineLevel="0" collapsed="false">
      <c r="A19" s="2" t="s">
        <v>90</v>
      </c>
      <c r="B19" s="2" t="s">
        <v>91</v>
      </c>
      <c r="C19" s="2" t="s">
        <v>50</v>
      </c>
      <c r="D19" s="4" t="s">
        <v>51</v>
      </c>
      <c r="E19" s="4" t="s">
        <v>52</v>
      </c>
      <c r="F19" s="2"/>
      <c r="G19" s="2"/>
      <c r="H19" s="2"/>
      <c r="I19" s="2"/>
    </row>
    <row r="20" customFormat="false" ht="15" hidden="false" customHeight="false" outlineLevel="0" collapsed="false">
      <c r="A20" s="2" t="s">
        <v>92</v>
      </c>
      <c r="B20" s="2" t="s">
        <v>93</v>
      </c>
      <c r="C20" s="2" t="s">
        <v>50</v>
      </c>
      <c r="D20" s="6" t="s">
        <v>66</v>
      </c>
      <c r="E20" s="2"/>
      <c r="F20" s="2"/>
      <c r="G20" s="2" t="s">
        <v>94</v>
      </c>
      <c r="H20" s="2" t="s">
        <v>79</v>
      </c>
      <c r="I20" s="2"/>
    </row>
    <row r="21" customFormat="false" ht="23.85" hidden="false" customHeight="false" outlineLevel="0" collapsed="false">
      <c r="A21" s="2" t="s">
        <v>95</v>
      </c>
      <c r="B21" s="2" t="s">
        <v>96</v>
      </c>
      <c r="C21" s="2" t="s">
        <v>50</v>
      </c>
      <c r="D21" s="6" t="s">
        <v>66</v>
      </c>
      <c r="E21" s="2"/>
      <c r="F21" s="2"/>
      <c r="G21" s="2" t="s">
        <v>94</v>
      </c>
      <c r="H21" s="2" t="s">
        <v>79</v>
      </c>
      <c r="I21" s="2"/>
    </row>
    <row r="22" customFormat="false" ht="15" hidden="false" customHeight="false" outlineLevel="0" collapsed="false">
      <c r="A22" s="2" t="s">
        <v>97</v>
      </c>
      <c r="B22" s="2" t="s">
        <v>98</v>
      </c>
      <c r="C22" s="2" t="s">
        <v>50</v>
      </c>
      <c r="D22" s="5" t="s">
        <v>57</v>
      </c>
      <c r="E22" s="2"/>
      <c r="F22" s="2"/>
      <c r="G22" s="2" t="s">
        <v>58</v>
      </c>
      <c r="H22" s="2" t="s">
        <v>59</v>
      </c>
      <c r="I22" s="2"/>
    </row>
    <row r="23" customFormat="false" ht="23.85" hidden="false" customHeight="false" outlineLevel="0" collapsed="false">
      <c r="A23" s="2" t="s">
        <v>99</v>
      </c>
      <c r="B23" s="2" t="s">
        <v>100</v>
      </c>
      <c r="C23" s="2" t="s">
        <v>50</v>
      </c>
      <c r="D23" s="6" t="s">
        <v>66</v>
      </c>
      <c r="E23" s="2"/>
      <c r="F23" s="2"/>
      <c r="G23" s="2" t="s">
        <v>94</v>
      </c>
      <c r="H23" s="2" t="s">
        <v>79</v>
      </c>
      <c r="I23" s="2"/>
    </row>
    <row r="24" customFormat="false" ht="15" hidden="false" customHeight="false" outlineLevel="0" collapsed="false">
      <c r="A24" s="2" t="s">
        <v>101</v>
      </c>
      <c r="B24" s="2" t="s">
        <v>102</v>
      </c>
      <c r="C24" s="2" t="s">
        <v>50</v>
      </c>
      <c r="D24" s="5" t="s">
        <v>57</v>
      </c>
      <c r="E24" s="2"/>
      <c r="F24" s="2"/>
      <c r="G24" s="2" t="s">
        <v>58</v>
      </c>
      <c r="H24" s="2" t="s">
        <v>59</v>
      </c>
      <c r="I24" s="2"/>
    </row>
    <row r="25" customFormat="false" ht="23.85" hidden="false" customHeight="false" outlineLevel="0" collapsed="false">
      <c r="A25" s="2" t="s">
        <v>103</v>
      </c>
      <c r="B25" s="2" t="s">
        <v>104</v>
      </c>
      <c r="C25" s="2" t="s">
        <v>50</v>
      </c>
      <c r="D25" s="4" t="s">
        <v>51</v>
      </c>
      <c r="E25" s="4" t="s">
        <v>52</v>
      </c>
      <c r="F25" s="2"/>
      <c r="G25" s="2"/>
      <c r="H25" s="2"/>
      <c r="I25" s="2"/>
    </row>
    <row r="26" customFormat="false" ht="15" hidden="false" customHeight="false" outlineLevel="0" collapsed="false">
      <c r="A26" s="2" t="s">
        <v>105</v>
      </c>
      <c r="B26" s="2" t="s">
        <v>106</v>
      </c>
      <c r="C26" s="2" t="s">
        <v>50</v>
      </c>
      <c r="D26" s="4" t="s">
        <v>51</v>
      </c>
      <c r="E26" s="2"/>
      <c r="F26" s="2"/>
      <c r="G26" s="2"/>
      <c r="H26" s="2"/>
      <c r="I26" s="2"/>
    </row>
    <row r="27" customFormat="false" ht="15" hidden="false" customHeight="false" outlineLevel="0" collapsed="false">
      <c r="A27" s="2" t="s">
        <v>107</v>
      </c>
      <c r="B27" s="2" t="s">
        <v>108</v>
      </c>
      <c r="C27" s="2" t="s">
        <v>50</v>
      </c>
      <c r="D27" s="4" t="s">
        <v>51</v>
      </c>
      <c r="E27" s="2"/>
      <c r="F27" s="2"/>
      <c r="G27" s="2"/>
      <c r="H27" s="2"/>
      <c r="I27" s="2"/>
    </row>
    <row r="28" customFormat="false" ht="15" hidden="false" customHeight="false" outlineLevel="0" collapsed="false">
      <c r="A28" s="2" t="s">
        <v>109</v>
      </c>
      <c r="B28" s="2" t="s">
        <v>110</v>
      </c>
      <c r="C28" s="2" t="s">
        <v>50</v>
      </c>
      <c r="D28" s="4" t="s">
        <v>51</v>
      </c>
      <c r="E28" s="2"/>
      <c r="F28" s="2"/>
      <c r="G28" s="2"/>
      <c r="H28" s="2"/>
      <c r="I28" s="2"/>
    </row>
    <row r="29" customFormat="false" ht="15" hidden="false" customHeight="false" outlineLevel="0" collapsed="false">
      <c r="A29" s="2" t="s">
        <v>111</v>
      </c>
      <c r="B29" s="2" t="s">
        <v>112</v>
      </c>
      <c r="C29" s="2" t="s">
        <v>50</v>
      </c>
      <c r="D29" s="5" t="s">
        <v>57</v>
      </c>
      <c r="E29" s="2"/>
      <c r="F29" s="2"/>
      <c r="G29" s="2" t="s">
        <v>58</v>
      </c>
      <c r="H29" s="2" t="s">
        <v>59</v>
      </c>
      <c r="I29" s="2"/>
    </row>
    <row r="30" customFormat="false" ht="15" hidden="false" customHeight="false" outlineLevel="0" collapsed="false">
      <c r="A30" s="2" t="s">
        <v>113</v>
      </c>
      <c r="B30" s="2" t="s">
        <v>114</v>
      </c>
      <c r="C30" s="2" t="s">
        <v>50</v>
      </c>
      <c r="D30" s="6" t="s">
        <v>66</v>
      </c>
      <c r="E30" s="2"/>
      <c r="F30" s="2"/>
      <c r="G30" s="2" t="s">
        <v>58</v>
      </c>
      <c r="H30" s="2" t="s">
        <v>59</v>
      </c>
      <c r="I30" s="2"/>
    </row>
    <row r="31" customFormat="false" ht="15" hidden="false" customHeight="false" outlineLevel="0" collapsed="false">
      <c r="A31" s="2" t="s">
        <v>115</v>
      </c>
      <c r="B31" s="2" t="s">
        <v>116</v>
      </c>
      <c r="C31" s="2" t="s">
        <v>50</v>
      </c>
      <c r="D31" s="6" t="s">
        <v>66</v>
      </c>
      <c r="E31" s="2"/>
      <c r="F31" s="2"/>
      <c r="G31" s="2" t="s">
        <v>117</v>
      </c>
      <c r="H31" s="2" t="s">
        <v>79</v>
      </c>
      <c r="I31" s="2"/>
    </row>
    <row r="32" customFormat="false" ht="15" hidden="false" customHeight="false" outlineLevel="0" collapsed="false">
      <c r="A32" s="2" t="s">
        <v>118</v>
      </c>
      <c r="B32" s="2" t="s">
        <v>119</v>
      </c>
      <c r="C32" s="2" t="s">
        <v>50</v>
      </c>
      <c r="D32" s="5" t="s">
        <v>57</v>
      </c>
      <c r="E32" s="2"/>
      <c r="F32" s="2"/>
      <c r="G32" s="2" t="s">
        <v>58</v>
      </c>
      <c r="H32" s="2" t="s">
        <v>59</v>
      </c>
      <c r="I32" s="2"/>
    </row>
    <row r="33" customFormat="false" ht="15" hidden="false" customHeight="false" outlineLevel="0" collapsed="false">
      <c r="A33" s="2" t="s">
        <v>120</v>
      </c>
      <c r="B33" s="2" t="s">
        <v>121</v>
      </c>
      <c r="C33" s="2" t="s">
        <v>50</v>
      </c>
      <c r="D33" s="5" t="s">
        <v>57</v>
      </c>
      <c r="E33" s="2"/>
      <c r="F33" s="2"/>
      <c r="G33" s="2" t="s">
        <v>58</v>
      </c>
      <c r="H33" s="2" t="s">
        <v>59</v>
      </c>
      <c r="I33" s="2"/>
    </row>
    <row r="34" customFormat="false" ht="15" hidden="false" customHeight="false" outlineLevel="0" collapsed="false">
      <c r="A34" s="2" t="s">
        <v>122</v>
      </c>
      <c r="B34" s="2" t="s">
        <v>123</v>
      </c>
      <c r="C34" s="2" t="s">
        <v>50</v>
      </c>
      <c r="D34" s="5" t="s">
        <v>57</v>
      </c>
      <c r="E34" s="2"/>
      <c r="F34" s="2"/>
      <c r="G34" s="2" t="s">
        <v>58</v>
      </c>
      <c r="H34" s="2" t="s">
        <v>59</v>
      </c>
      <c r="I34" s="2"/>
    </row>
    <row r="35" customFormat="false" ht="15" hidden="false" customHeight="false" outlineLevel="0" collapsed="false">
      <c r="A35" s="2" t="s">
        <v>124</v>
      </c>
      <c r="B35" s="2" t="s">
        <v>125</v>
      </c>
      <c r="C35" s="2" t="s">
        <v>50</v>
      </c>
      <c r="D35" s="5" t="s">
        <v>57</v>
      </c>
      <c r="E35" s="2"/>
      <c r="F35" s="2"/>
      <c r="G35" s="2" t="s">
        <v>58</v>
      </c>
      <c r="H35" s="2" t="s">
        <v>59</v>
      </c>
      <c r="I35" s="2"/>
    </row>
    <row r="36" customFormat="false" ht="15" hidden="false" customHeight="false" outlineLevel="0" collapsed="false">
      <c r="A36" s="2" t="s">
        <v>126</v>
      </c>
      <c r="B36" s="2" t="s">
        <v>127</v>
      </c>
      <c r="C36" s="2" t="s">
        <v>50</v>
      </c>
      <c r="D36" s="6" t="s">
        <v>66</v>
      </c>
      <c r="E36" s="2"/>
      <c r="F36" s="2"/>
      <c r="G36" s="2" t="s">
        <v>58</v>
      </c>
      <c r="H36" s="2" t="s">
        <v>59</v>
      </c>
      <c r="I36" s="2"/>
    </row>
    <row r="37" customFormat="false" ht="23.85" hidden="false" customHeight="false" outlineLevel="0" collapsed="false">
      <c r="A37" s="2" t="s">
        <v>128</v>
      </c>
      <c r="B37" s="2" t="s">
        <v>129</v>
      </c>
      <c r="C37" s="2" t="s">
        <v>50</v>
      </c>
      <c r="D37" s="4" t="s">
        <v>51</v>
      </c>
      <c r="E37" s="5" t="s">
        <v>130</v>
      </c>
      <c r="F37" s="2" t="s">
        <v>131</v>
      </c>
      <c r="G37" s="2" t="s">
        <v>132</v>
      </c>
      <c r="H37" s="2" t="s">
        <v>132</v>
      </c>
      <c r="I37" s="2" t="s">
        <v>133</v>
      </c>
    </row>
    <row r="38" customFormat="false" ht="15" hidden="false" customHeight="false" outlineLevel="0" collapsed="false">
      <c r="A38" s="2" t="s">
        <v>134</v>
      </c>
      <c r="B38" s="2" t="s">
        <v>135</v>
      </c>
      <c r="C38" s="2" t="s">
        <v>50</v>
      </c>
      <c r="D38" s="5" t="s">
        <v>57</v>
      </c>
      <c r="E38" s="2"/>
      <c r="F38" s="2"/>
      <c r="G38" s="2" t="s">
        <v>58</v>
      </c>
      <c r="H38" s="2" t="s">
        <v>59</v>
      </c>
      <c r="I38" s="2"/>
    </row>
    <row r="39" customFormat="false" ht="15" hidden="false" customHeight="false" outlineLevel="0" collapsed="false">
      <c r="A39" s="2" t="s">
        <v>136</v>
      </c>
      <c r="B39" s="2" t="s">
        <v>137</v>
      </c>
      <c r="C39" s="2" t="s">
        <v>138</v>
      </c>
      <c r="D39" s="6" t="s">
        <v>66</v>
      </c>
      <c r="E39" s="2"/>
      <c r="F39" s="2"/>
      <c r="G39" s="2" t="s">
        <v>139</v>
      </c>
      <c r="H39" s="2" t="s">
        <v>79</v>
      </c>
      <c r="I39" s="2"/>
    </row>
    <row r="40" customFormat="false" ht="15" hidden="false" customHeight="false" outlineLevel="0" collapsed="false">
      <c r="A40" s="2" t="s">
        <v>140</v>
      </c>
      <c r="B40" s="2" t="s">
        <v>141</v>
      </c>
      <c r="C40" s="2" t="s">
        <v>138</v>
      </c>
      <c r="D40" s="5" t="s">
        <v>57</v>
      </c>
      <c r="E40" s="2"/>
      <c r="F40" s="2"/>
      <c r="G40" s="2" t="s">
        <v>58</v>
      </c>
      <c r="H40" s="2" t="s">
        <v>59</v>
      </c>
      <c r="I40" s="2"/>
    </row>
    <row r="41" customFormat="false" ht="15" hidden="false" customHeight="false" outlineLevel="0" collapsed="false">
      <c r="A41" s="2" t="s">
        <v>142</v>
      </c>
      <c r="B41" s="2" t="s">
        <v>143</v>
      </c>
      <c r="C41" s="2" t="s">
        <v>138</v>
      </c>
      <c r="D41" s="5" t="s">
        <v>57</v>
      </c>
      <c r="E41" s="5" t="s">
        <v>130</v>
      </c>
      <c r="F41" s="2" t="s">
        <v>144</v>
      </c>
      <c r="G41" s="2" t="s">
        <v>132</v>
      </c>
      <c r="H41" s="2" t="s">
        <v>132</v>
      </c>
      <c r="I41" s="2" t="s">
        <v>145</v>
      </c>
    </row>
    <row r="42" customFormat="false" ht="15" hidden="false" customHeight="false" outlineLevel="0" collapsed="false">
      <c r="A42" s="2" t="s">
        <v>146</v>
      </c>
      <c r="B42" s="2" t="s">
        <v>147</v>
      </c>
      <c r="C42" s="2" t="s">
        <v>138</v>
      </c>
      <c r="D42" s="6" t="s">
        <v>66</v>
      </c>
      <c r="E42" s="2"/>
      <c r="F42" s="2"/>
      <c r="G42" s="2" t="s">
        <v>139</v>
      </c>
      <c r="H42" s="2" t="s">
        <v>148</v>
      </c>
      <c r="I42" s="2"/>
    </row>
    <row r="43" customFormat="false" ht="23.85" hidden="false" customHeight="false" outlineLevel="0" collapsed="false">
      <c r="A43" s="2" t="s">
        <v>149</v>
      </c>
      <c r="B43" s="2" t="s">
        <v>150</v>
      </c>
      <c r="C43" s="2" t="s">
        <v>138</v>
      </c>
      <c r="D43" s="4" t="s">
        <v>51</v>
      </c>
      <c r="E43" s="2"/>
      <c r="F43" s="2"/>
      <c r="G43" s="2"/>
      <c r="H43" s="2"/>
      <c r="I43" s="2"/>
    </row>
    <row r="44" customFormat="false" ht="15" hidden="false" customHeight="false" outlineLevel="0" collapsed="false">
      <c r="A44" s="2" t="s">
        <v>151</v>
      </c>
      <c r="B44" s="2" t="s">
        <v>152</v>
      </c>
      <c r="C44" s="2" t="s">
        <v>138</v>
      </c>
      <c r="D44" s="5" t="s">
        <v>57</v>
      </c>
      <c r="E44" s="2"/>
      <c r="F44" s="2"/>
      <c r="G44" s="2" t="s">
        <v>58</v>
      </c>
      <c r="H44" s="2" t="s">
        <v>59</v>
      </c>
      <c r="I44" s="2"/>
    </row>
    <row r="45" customFormat="false" ht="15" hidden="false" customHeight="false" outlineLevel="0" collapsed="false">
      <c r="A45" s="2" t="s">
        <v>153</v>
      </c>
      <c r="B45" s="2" t="s">
        <v>154</v>
      </c>
      <c r="C45" s="2" t="s">
        <v>138</v>
      </c>
      <c r="D45" s="5" t="s">
        <v>57</v>
      </c>
      <c r="E45" s="2"/>
      <c r="F45" s="2"/>
      <c r="G45" s="2" t="s">
        <v>58</v>
      </c>
      <c r="H45" s="2" t="s">
        <v>59</v>
      </c>
      <c r="I45" s="2"/>
    </row>
    <row r="46" customFormat="false" ht="15" hidden="false" customHeight="false" outlineLevel="0" collapsed="false">
      <c r="A46" s="2" t="s">
        <v>155</v>
      </c>
      <c r="B46" s="2" t="s">
        <v>156</v>
      </c>
      <c r="C46" s="2" t="s">
        <v>138</v>
      </c>
      <c r="D46" s="4" t="s">
        <v>51</v>
      </c>
      <c r="E46" s="2"/>
      <c r="F46" s="2"/>
      <c r="G46" s="2"/>
      <c r="H46" s="2"/>
      <c r="I46" s="2"/>
    </row>
    <row r="47" customFormat="false" ht="15" hidden="false" customHeight="false" outlineLevel="0" collapsed="false">
      <c r="A47" s="2" t="s">
        <v>157</v>
      </c>
      <c r="B47" s="2" t="s">
        <v>158</v>
      </c>
      <c r="C47" s="2" t="s">
        <v>159</v>
      </c>
      <c r="D47" s="5" t="s">
        <v>57</v>
      </c>
      <c r="E47" s="2"/>
      <c r="F47" s="2"/>
      <c r="G47" s="2" t="s">
        <v>58</v>
      </c>
      <c r="H47" s="2" t="s">
        <v>59</v>
      </c>
      <c r="I47" s="2"/>
    </row>
    <row r="48" customFormat="false" ht="15" hidden="false" customHeight="false" outlineLevel="0" collapsed="false">
      <c r="A48" s="2" t="s">
        <v>160</v>
      </c>
      <c r="B48" s="2" t="s">
        <v>161</v>
      </c>
      <c r="C48" s="2" t="s">
        <v>159</v>
      </c>
      <c r="D48" s="5" t="s">
        <v>57</v>
      </c>
      <c r="E48" s="2"/>
      <c r="F48" s="2"/>
      <c r="G48" s="2" t="s">
        <v>58</v>
      </c>
      <c r="H48" s="2" t="s">
        <v>59</v>
      </c>
      <c r="I48" s="2"/>
    </row>
    <row r="49" customFormat="false" ht="15" hidden="false" customHeight="false" outlineLevel="0" collapsed="false">
      <c r="A49" s="2" t="s">
        <v>162</v>
      </c>
      <c r="B49" s="2" t="s">
        <v>163</v>
      </c>
      <c r="C49" s="2" t="s">
        <v>159</v>
      </c>
      <c r="D49" s="5" t="s">
        <v>57</v>
      </c>
      <c r="E49" s="2"/>
      <c r="F49" s="2"/>
      <c r="G49" s="2" t="s">
        <v>58</v>
      </c>
      <c r="H49" s="2" t="s">
        <v>59</v>
      </c>
      <c r="I49" s="2"/>
    </row>
    <row r="50" customFormat="false" ht="15" hidden="false" customHeight="false" outlineLevel="0" collapsed="false">
      <c r="A50" s="2" t="s">
        <v>164</v>
      </c>
      <c r="B50" s="2" t="s">
        <v>165</v>
      </c>
      <c r="C50" s="2" t="s">
        <v>159</v>
      </c>
      <c r="D50" s="6" t="s">
        <v>66</v>
      </c>
      <c r="E50" s="2"/>
      <c r="F50" s="2"/>
      <c r="G50" s="2" t="s">
        <v>58</v>
      </c>
      <c r="H50" s="2" t="s">
        <v>59</v>
      </c>
      <c r="I50" s="2"/>
    </row>
    <row r="51" customFormat="false" ht="15" hidden="false" customHeight="false" outlineLevel="0" collapsed="false">
      <c r="A51" s="2" t="s">
        <v>166</v>
      </c>
      <c r="B51" s="2" t="s">
        <v>167</v>
      </c>
      <c r="C51" s="2" t="s">
        <v>159</v>
      </c>
      <c r="D51" s="6" t="s">
        <v>66</v>
      </c>
      <c r="E51" s="2"/>
      <c r="F51" s="2"/>
      <c r="G51" s="2" t="s">
        <v>58</v>
      </c>
      <c r="H51" s="2" t="s">
        <v>59</v>
      </c>
      <c r="I51" s="2"/>
    </row>
    <row r="52" customFormat="false" ht="15" hidden="false" customHeight="false" outlineLevel="0" collapsed="false">
      <c r="A52" s="2" t="s">
        <v>168</v>
      </c>
      <c r="B52" s="2" t="s">
        <v>169</v>
      </c>
      <c r="C52" s="2" t="s">
        <v>159</v>
      </c>
      <c r="D52" s="6" t="s">
        <v>66</v>
      </c>
      <c r="E52" s="2"/>
      <c r="F52" s="2"/>
      <c r="G52" s="2" t="s">
        <v>58</v>
      </c>
      <c r="H52" s="2" t="s">
        <v>59</v>
      </c>
      <c r="I52" s="2"/>
    </row>
    <row r="53" customFormat="false" ht="15" hidden="false" customHeight="false" outlineLevel="0" collapsed="false">
      <c r="A53" s="2" t="s">
        <v>170</v>
      </c>
      <c r="B53" s="2" t="s">
        <v>171</v>
      </c>
      <c r="C53" s="2" t="s">
        <v>159</v>
      </c>
      <c r="D53" s="6" t="s">
        <v>66</v>
      </c>
      <c r="E53" s="2"/>
      <c r="F53" s="2"/>
      <c r="G53" s="2" t="s">
        <v>58</v>
      </c>
      <c r="H53" s="2" t="s">
        <v>59</v>
      </c>
      <c r="I53" s="2"/>
    </row>
    <row r="54" customFormat="false" ht="15" hidden="false" customHeight="false" outlineLevel="0" collapsed="false">
      <c r="A54" s="2" t="s">
        <v>172</v>
      </c>
      <c r="B54" s="2" t="s">
        <v>173</v>
      </c>
      <c r="C54" s="2" t="s">
        <v>159</v>
      </c>
      <c r="D54" s="5" t="s">
        <v>57</v>
      </c>
      <c r="E54" s="2"/>
      <c r="F54" s="2"/>
      <c r="G54" s="2" t="s">
        <v>58</v>
      </c>
      <c r="H54" s="2" t="s">
        <v>59</v>
      </c>
      <c r="I54" s="2"/>
    </row>
    <row r="55" customFormat="false" ht="15" hidden="false" customHeight="false" outlineLevel="0" collapsed="false">
      <c r="A55" s="2" t="s">
        <v>174</v>
      </c>
      <c r="B55" s="2" t="s">
        <v>175</v>
      </c>
      <c r="C55" s="2" t="s">
        <v>159</v>
      </c>
      <c r="D55" s="4" t="s">
        <v>51</v>
      </c>
      <c r="E55" s="2"/>
      <c r="F55" s="2"/>
      <c r="G55" s="2"/>
      <c r="H55" s="2"/>
      <c r="I55" s="2"/>
    </row>
    <row r="56" customFormat="false" ht="15" hidden="false" customHeight="false" outlineLevel="0" collapsed="false">
      <c r="A56" s="2" t="s">
        <v>176</v>
      </c>
      <c r="B56" s="2" t="s">
        <v>177</v>
      </c>
      <c r="C56" s="2" t="s">
        <v>159</v>
      </c>
      <c r="D56" s="6" t="s">
        <v>66</v>
      </c>
      <c r="E56" s="2"/>
      <c r="F56" s="2"/>
      <c r="G56" s="2" t="s">
        <v>58</v>
      </c>
      <c r="H56" s="2" t="s">
        <v>59</v>
      </c>
      <c r="I56" s="2"/>
    </row>
    <row r="57" customFormat="false" ht="15" hidden="false" customHeight="false" outlineLevel="0" collapsed="false">
      <c r="A57" s="2" t="s">
        <v>178</v>
      </c>
      <c r="B57" s="2" t="s">
        <v>179</v>
      </c>
      <c r="C57" s="2" t="s">
        <v>159</v>
      </c>
      <c r="D57" s="6" t="s">
        <v>66</v>
      </c>
      <c r="E57" s="2"/>
      <c r="F57" s="2"/>
      <c r="G57" s="2" t="s">
        <v>58</v>
      </c>
      <c r="H57" s="2" t="s">
        <v>59</v>
      </c>
      <c r="I57" s="2"/>
    </row>
    <row r="58" customFormat="false" ht="15" hidden="false" customHeight="false" outlineLevel="0" collapsed="false">
      <c r="A58" s="2" t="s">
        <v>180</v>
      </c>
      <c r="B58" s="2" t="s">
        <v>181</v>
      </c>
      <c r="C58" s="2" t="s">
        <v>159</v>
      </c>
      <c r="D58" s="6" t="s">
        <v>66</v>
      </c>
      <c r="E58" s="2"/>
      <c r="F58" s="2"/>
      <c r="G58" s="2" t="s">
        <v>58</v>
      </c>
      <c r="H58" s="2" t="s">
        <v>59</v>
      </c>
      <c r="I58" s="2"/>
    </row>
    <row r="59" customFormat="false" ht="15" hidden="false" customHeight="false" outlineLevel="0" collapsed="false">
      <c r="A59" s="2" t="s">
        <v>182</v>
      </c>
      <c r="B59" s="2" t="s">
        <v>183</v>
      </c>
      <c r="C59" s="2" t="s">
        <v>159</v>
      </c>
      <c r="D59" s="6" t="s">
        <v>66</v>
      </c>
      <c r="E59" s="2"/>
      <c r="F59" s="2"/>
      <c r="G59" s="2" t="s">
        <v>58</v>
      </c>
      <c r="H59" s="2" t="s">
        <v>59</v>
      </c>
      <c r="I59" s="2"/>
    </row>
    <row r="60" customFormat="false" ht="15" hidden="false" customHeight="false" outlineLevel="0" collapsed="false">
      <c r="A60" s="2" t="s">
        <v>184</v>
      </c>
      <c r="B60" s="2" t="s">
        <v>185</v>
      </c>
      <c r="C60" s="2" t="s">
        <v>159</v>
      </c>
      <c r="D60" s="6" t="s">
        <v>66</v>
      </c>
      <c r="E60" s="2"/>
      <c r="F60" s="2"/>
      <c r="G60" s="2" t="s">
        <v>58</v>
      </c>
      <c r="H60" s="2" t="s">
        <v>59</v>
      </c>
      <c r="I60" s="2"/>
    </row>
    <row r="61" customFormat="false" ht="15" hidden="false" customHeight="false" outlineLevel="0" collapsed="false">
      <c r="A61" s="2" t="s">
        <v>186</v>
      </c>
      <c r="B61" s="2" t="s">
        <v>187</v>
      </c>
      <c r="C61" s="2" t="s">
        <v>188</v>
      </c>
      <c r="D61" s="4" t="s">
        <v>51</v>
      </c>
      <c r="E61" s="2"/>
      <c r="F61" s="2"/>
      <c r="G61" s="2"/>
      <c r="H61" s="2"/>
      <c r="I61" s="2"/>
    </row>
    <row r="62" customFormat="false" ht="15" hidden="false" customHeight="false" outlineLevel="0" collapsed="false">
      <c r="A62" s="2" t="s">
        <v>189</v>
      </c>
      <c r="B62" s="2" t="s">
        <v>190</v>
      </c>
      <c r="C62" s="2" t="s">
        <v>188</v>
      </c>
      <c r="D62" s="4" t="s">
        <v>51</v>
      </c>
      <c r="E62" s="6" t="s">
        <v>191</v>
      </c>
      <c r="F62" s="2" t="s">
        <v>192</v>
      </c>
      <c r="G62" s="2" t="s">
        <v>132</v>
      </c>
      <c r="H62" s="2" t="s">
        <v>132</v>
      </c>
      <c r="I62" s="2" t="s">
        <v>193</v>
      </c>
    </row>
    <row r="63" customFormat="false" ht="15" hidden="false" customHeight="false" outlineLevel="0" collapsed="false">
      <c r="A63" s="2" t="s">
        <v>194</v>
      </c>
      <c r="B63" s="2" t="s">
        <v>195</v>
      </c>
      <c r="C63" s="2" t="s">
        <v>188</v>
      </c>
      <c r="D63" s="4" t="s">
        <v>51</v>
      </c>
      <c r="E63" s="2"/>
      <c r="F63" s="2"/>
      <c r="G63" s="2"/>
      <c r="H63" s="2"/>
      <c r="I63" s="2"/>
    </row>
    <row r="64" customFormat="false" ht="15" hidden="false" customHeight="false" outlineLevel="0" collapsed="false">
      <c r="A64" s="2" t="s">
        <v>196</v>
      </c>
      <c r="B64" s="2" t="s">
        <v>197</v>
      </c>
      <c r="C64" s="2" t="s">
        <v>188</v>
      </c>
      <c r="D64" s="4" t="s">
        <v>51</v>
      </c>
      <c r="E64" s="6" t="s">
        <v>191</v>
      </c>
      <c r="F64" s="2" t="s">
        <v>198</v>
      </c>
      <c r="G64" s="2" t="s">
        <v>132</v>
      </c>
      <c r="H64" s="2" t="s">
        <v>132</v>
      </c>
      <c r="I64" s="2" t="s">
        <v>199</v>
      </c>
    </row>
    <row r="65" customFormat="false" ht="15" hidden="false" customHeight="false" outlineLevel="0" collapsed="false">
      <c r="A65" s="2" t="s">
        <v>200</v>
      </c>
      <c r="B65" s="2" t="s">
        <v>201</v>
      </c>
      <c r="C65" s="2" t="s">
        <v>188</v>
      </c>
      <c r="D65" s="4" t="s">
        <v>51</v>
      </c>
      <c r="E65" s="6" t="s">
        <v>191</v>
      </c>
      <c r="F65" s="2" t="s">
        <v>202</v>
      </c>
      <c r="G65" s="2" t="s">
        <v>132</v>
      </c>
      <c r="H65" s="2" t="s">
        <v>132</v>
      </c>
      <c r="I65" s="2" t="s">
        <v>203</v>
      </c>
    </row>
    <row r="66" customFormat="false" ht="15" hidden="false" customHeight="false" outlineLevel="0" collapsed="false">
      <c r="A66" s="2" t="s">
        <v>204</v>
      </c>
      <c r="B66" s="2" t="s">
        <v>205</v>
      </c>
      <c r="C66" s="2" t="s">
        <v>188</v>
      </c>
      <c r="D66" s="6" t="s">
        <v>66</v>
      </c>
      <c r="E66" s="2"/>
      <c r="F66" s="2"/>
      <c r="G66" s="2" t="s">
        <v>58</v>
      </c>
      <c r="H66" s="2" t="s">
        <v>59</v>
      </c>
      <c r="I66" s="2"/>
    </row>
    <row r="67" customFormat="false" ht="15" hidden="false" customHeight="false" outlineLevel="0" collapsed="false">
      <c r="A67" s="2" t="s">
        <v>206</v>
      </c>
      <c r="B67" s="2" t="s">
        <v>207</v>
      </c>
      <c r="C67" s="2" t="s">
        <v>188</v>
      </c>
      <c r="D67" s="4" t="s">
        <v>51</v>
      </c>
      <c r="E67" s="4" t="s">
        <v>52</v>
      </c>
      <c r="F67" s="2"/>
      <c r="G67" s="2"/>
      <c r="H67" s="2"/>
      <c r="I67" s="2"/>
    </row>
    <row r="68" customFormat="false" ht="15" hidden="false" customHeight="false" outlineLevel="0" collapsed="false">
      <c r="A68" s="2" t="s">
        <v>208</v>
      </c>
      <c r="B68" s="2" t="s">
        <v>209</v>
      </c>
      <c r="C68" s="2" t="s">
        <v>188</v>
      </c>
      <c r="D68" s="4" t="s">
        <v>51</v>
      </c>
      <c r="E68" s="5" t="s">
        <v>130</v>
      </c>
      <c r="F68" s="2" t="s">
        <v>210</v>
      </c>
      <c r="G68" s="2" t="s">
        <v>132</v>
      </c>
      <c r="H68" s="2" t="s">
        <v>132</v>
      </c>
      <c r="I68" s="2" t="s">
        <v>211</v>
      </c>
    </row>
    <row r="69" customFormat="false" ht="15" hidden="false" customHeight="false" outlineLevel="0" collapsed="false">
      <c r="A69" s="2" t="s">
        <v>212</v>
      </c>
      <c r="B69" s="2" t="s">
        <v>213</v>
      </c>
      <c r="C69" s="2" t="s">
        <v>188</v>
      </c>
      <c r="D69" s="5" t="s">
        <v>57</v>
      </c>
      <c r="E69" s="2"/>
      <c r="F69" s="2"/>
      <c r="G69" s="2" t="s">
        <v>58</v>
      </c>
      <c r="H69" s="2" t="s">
        <v>59</v>
      </c>
      <c r="I69" s="2"/>
    </row>
    <row r="70" customFormat="false" ht="15" hidden="false" customHeight="false" outlineLevel="0" collapsed="false">
      <c r="A70" s="2" t="s">
        <v>214</v>
      </c>
      <c r="B70" s="2" t="s">
        <v>215</v>
      </c>
      <c r="C70" s="2" t="s">
        <v>188</v>
      </c>
      <c r="D70" s="6" t="s">
        <v>66</v>
      </c>
      <c r="E70" s="2"/>
      <c r="F70" s="2"/>
      <c r="G70" s="2" t="s">
        <v>58</v>
      </c>
      <c r="H70" s="2" t="s">
        <v>59</v>
      </c>
      <c r="I70" s="2"/>
    </row>
    <row r="71" customFormat="false" ht="15" hidden="false" customHeight="false" outlineLevel="0" collapsed="false">
      <c r="A71" s="2" t="s">
        <v>216</v>
      </c>
      <c r="B71" s="2" t="s">
        <v>217</v>
      </c>
      <c r="C71" s="2" t="s">
        <v>188</v>
      </c>
      <c r="D71" s="6" t="s">
        <v>66</v>
      </c>
      <c r="E71" s="2"/>
      <c r="F71" s="2"/>
      <c r="G71" s="2" t="s">
        <v>58</v>
      </c>
      <c r="H71" s="2" t="s">
        <v>59</v>
      </c>
      <c r="I71" s="2"/>
    </row>
    <row r="72" customFormat="false" ht="15" hidden="false" customHeight="false" outlineLevel="0" collapsed="false">
      <c r="A72" s="2" t="s">
        <v>218</v>
      </c>
      <c r="B72" s="2" t="s">
        <v>219</v>
      </c>
      <c r="C72" s="2" t="s">
        <v>188</v>
      </c>
      <c r="D72" s="6" t="s">
        <v>66</v>
      </c>
      <c r="E72" s="2"/>
      <c r="F72" s="2"/>
      <c r="G72" s="2" t="s">
        <v>58</v>
      </c>
      <c r="H72" s="2" t="s">
        <v>59</v>
      </c>
      <c r="I72" s="2"/>
    </row>
    <row r="73" customFormat="false" ht="15" hidden="false" customHeight="false" outlineLevel="0" collapsed="false">
      <c r="A73" s="2" t="s">
        <v>220</v>
      </c>
      <c r="B73" s="2" t="s">
        <v>221</v>
      </c>
      <c r="C73" s="2" t="s">
        <v>188</v>
      </c>
      <c r="D73" s="4" t="s">
        <v>51</v>
      </c>
      <c r="E73" s="6" t="s">
        <v>191</v>
      </c>
      <c r="F73" s="2" t="s">
        <v>222</v>
      </c>
      <c r="G73" s="2" t="s">
        <v>132</v>
      </c>
      <c r="H73" s="2" t="s">
        <v>132</v>
      </c>
      <c r="I73" s="2" t="s">
        <v>223</v>
      </c>
    </row>
    <row r="74" customFormat="false" ht="15" hidden="false" customHeight="false" outlineLevel="0" collapsed="false">
      <c r="A74" s="2" t="s">
        <v>224</v>
      </c>
      <c r="B74" s="2" t="s">
        <v>225</v>
      </c>
      <c r="C74" s="2" t="s">
        <v>188</v>
      </c>
      <c r="D74" s="6" t="s">
        <v>66</v>
      </c>
      <c r="E74" s="2"/>
      <c r="F74" s="2"/>
      <c r="G74" s="2" t="s">
        <v>58</v>
      </c>
      <c r="H74" s="2" t="s">
        <v>59</v>
      </c>
      <c r="I74" s="2"/>
    </row>
    <row r="75" customFormat="false" ht="15" hidden="false" customHeight="false" outlineLevel="0" collapsed="false">
      <c r="A75" s="2" t="s">
        <v>226</v>
      </c>
      <c r="B75" s="2" t="s">
        <v>227</v>
      </c>
      <c r="C75" s="2" t="s">
        <v>188</v>
      </c>
      <c r="D75" s="4" t="s">
        <v>51</v>
      </c>
      <c r="E75" s="4" t="s">
        <v>52</v>
      </c>
      <c r="F75" s="2"/>
      <c r="G75" s="2"/>
      <c r="H75" s="2"/>
      <c r="I75" s="2"/>
    </row>
    <row r="76" customFormat="false" ht="15" hidden="false" customHeight="false" outlineLevel="0" collapsed="false">
      <c r="A76" s="2" t="s">
        <v>228</v>
      </c>
      <c r="B76" s="2" t="s">
        <v>229</v>
      </c>
      <c r="C76" s="2" t="s">
        <v>188</v>
      </c>
      <c r="D76" s="4" t="s">
        <v>51</v>
      </c>
      <c r="E76" s="2"/>
      <c r="F76" s="2"/>
      <c r="G76" s="2"/>
      <c r="H76" s="2"/>
      <c r="I76" s="2"/>
    </row>
    <row r="77" customFormat="false" ht="15" hidden="false" customHeight="false" outlineLevel="0" collapsed="false">
      <c r="A77" s="2" t="s">
        <v>230</v>
      </c>
      <c r="B77" s="2" t="s">
        <v>231</v>
      </c>
      <c r="C77" s="2" t="s">
        <v>188</v>
      </c>
      <c r="D77" s="6" t="s">
        <v>66</v>
      </c>
      <c r="E77" s="2"/>
      <c r="F77" s="2"/>
      <c r="G77" s="2" t="s">
        <v>58</v>
      </c>
      <c r="H77" s="2" t="s">
        <v>59</v>
      </c>
      <c r="I77" s="2"/>
    </row>
    <row r="78" customFormat="false" ht="15" hidden="false" customHeight="false" outlineLevel="0" collapsed="false">
      <c r="A78" s="2" t="s">
        <v>232</v>
      </c>
      <c r="B78" s="2" t="s">
        <v>233</v>
      </c>
      <c r="C78" s="2" t="s">
        <v>188</v>
      </c>
      <c r="D78" s="6" t="s">
        <v>66</v>
      </c>
      <c r="E78" s="2"/>
      <c r="F78" s="2"/>
      <c r="G78" s="2" t="s">
        <v>58</v>
      </c>
      <c r="H78" s="2" t="s">
        <v>59</v>
      </c>
      <c r="I78" s="2"/>
    </row>
    <row r="79" customFormat="false" ht="15" hidden="false" customHeight="false" outlineLevel="0" collapsed="false">
      <c r="A79" s="2" t="s">
        <v>234</v>
      </c>
      <c r="B79" s="2" t="s">
        <v>235</v>
      </c>
      <c r="C79" s="2" t="s">
        <v>188</v>
      </c>
      <c r="D79" s="6" t="s">
        <v>66</v>
      </c>
      <c r="E79" s="2"/>
      <c r="F79" s="2"/>
      <c r="G79" s="2" t="s">
        <v>58</v>
      </c>
      <c r="H79" s="2" t="s">
        <v>59</v>
      </c>
      <c r="I79" s="2"/>
    </row>
    <row r="80" customFormat="false" ht="15" hidden="false" customHeight="false" outlineLevel="0" collapsed="false">
      <c r="A80" s="2" t="s">
        <v>236</v>
      </c>
      <c r="B80" s="2" t="s">
        <v>237</v>
      </c>
      <c r="C80" s="2" t="s">
        <v>188</v>
      </c>
      <c r="D80" s="4" t="s">
        <v>51</v>
      </c>
      <c r="E80" s="4" t="s">
        <v>52</v>
      </c>
      <c r="F80" s="2"/>
      <c r="G80" s="2"/>
      <c r="H80" s="2"/>
      <c r="I80" s="2"/>
    </row>
    <row r="81" customFormat="false" ht="15" hidden="false" customHeight="false" outlineLevel="0" collapsed="false">
      <c r="A81" s="2" t="s">
        <v>238</v>
      </c>
      <c r="B81" s="2" t="s">
        <v>239</v>
      </c>
      <c r="C81" s="2" t="s">
        <v>188</v>
      </c>
      <c r="D81" s="5" t="s">
        <v>57</v>
      </c>
      <c r="E81" s="2"/>
      <c r="F81" s="2"/>
      <c r="G81" s="2" t="s">
        <v>58</v>
      </c>
      <c r="H81" s="2" t="s">
        <v>59</v>
      </c>
      <c r="I81" s="2"/>
    </row>
    <row r="82" customFormat="false" ht="15" hidden="false" customHeight="false" outlineLevel="0" collapsed="false">
      <c r="A82" s="2" t="s">
        <v>240</v>
      </c>
      <c r="B82" s="2" t="s">
        <v>241</v>
      </c>
      <c r="C82" s="2" t="s">
        <v>188</v>
      </c>
      <c r="D82" s="5" t="s">
        <v>57</v>
      </c>
      <c r="E82" s="2"/>
      <c r="F82" s="2"/>
      <c r="G82" s="2" t="s">
        <v>58</v>
      </c>
      <c r="H82" s="2" t="s">
        <v>59</v>
      </c>
      <c r="I82" s="2"/>
    </row>
    <row r="83" customFormat="false" ht="15" hidden="false" customHeight="false" outlineLevel="0" collapsed="false">
      <c r="A83" s="2" t="s">
        <v>242</v>
      </c>
      <c r="B83" s="2" t="s">
        <v>243</v>
      </c>
      <c r="C83" s="2" t="s">
        <v>188</v>
      </c>
      <c r="D83" s="6" t="s">
        <v>66</v>
      </c>
      <c r="E83" s="2"/>
      <c r="F83" s="2"/>
      <c r="G83" s="2" t="s">
        <v>58</v>
      </c>
      <c r="H83" s="2" t="s">
        <v>59</v>
      </c>
      <c r="I83" s="2"/>
    </row>
    <row r="84" customFormat="false" ht="15" hidden="false" customHeight="false" outlineLevel="0" collapsed="false">
      <c r="A84" s="2" t="s">
        <v>244</v>
      </c>
      <c r="B84" s="2" t="s">
        <v>245</v>
      </c>
      <c r="C84" s="2" t="s">
        <v>188</v>
      </c>
      <c r="D84" s="4" t="s">
        <v>51</v>
      </c>
      <c r="E84" s="4" t="s">
        <v>52</v>
      </c>
      <c r="F84" s="2"/>
      <c r="G84" s="2"/>
      <c r="H84" s="2"/>
      <c r="I84" s="2"/>
    </row>
    <row r="85" customFormat="false" ht="15" hidden="false" customHeight="false" outlineLevel="0" collapsed="false">
      <c r="A85" s="2" t="s">
        <v>246</v>
      </c>
      <c r="B85" s="2" t="s">
        <v>247</v>
      </c>
      <c r="C85" s="2" t="s">
        <v>188</v>
      </c>
      <c r="D85" s="5" t="s">
        <v>57</v>
      </c>
      <c r="E85" s="2"/>
      <c r="F85" s="2"/>
      <c r="G85" s="2" t="s">
        <v>58</v>
      </c>
      <c r="H85" s="2" t="s">
        <v>59</v>
      </c>
      <c r="I85" s="2"/>
    </row>
    <row r="86" customFormat="false" ht="15" hidden="false" customHeight="false" outlineLevel="0" collapsed="false">
      <c r="A86" s="2" t="s">
        <v>248</v>
      </c>
      <c r="B86" s="2" t="s">
        <v>249</v>
      </c>
      <c r="C86" s="2" t="s">
        <v>188</v>
      </c>
      <c r="D86" s="5" t="s">
        <v>57</v>
      </c>
      <c r="E86" s="2"/>
      <c r="F86" s="2"/>
      <c r="G86" s="2" t="s">
        <v>58</v>
      </c>
      <c r="H86" s="2" t="s">
        <v>59</v>
      </c>
      <c r="I86" s="2"/>
    </row>
    <row r="87" customFormat="false" ht="15" hidden="false" customHeight="false" outlineLevel="0" collapsed="false">
      <c r="A87" s="2" t="s">
        <v>250</v>
      </c>
      <c r="B87" s="2" t="s">
        <v>251</v>
      </c>
      <c r="C87" s="2" t="s">
        <v>188</v>
      </c>
      <c r="D87" s="6" t="s">
        <v>66</v>
      </c>
      <c r="E87" s="2"/>
      <c r="F87" s="2"/>
      <c r="G87" s="2" t="s">
        <v>58</v>
      </c>
      <c r="H87" s="2" t="s">
        <v>59</v>
      </c>
      <c r="I87" s="2"/>
    </row>
    <row r="88" customFormat="false" ht="15" hidden="false" customHeight="false" outlineLevel="0" collapsed="false">
      <c r="A88" s="2" t="s">
        <v>252</v>
      </c>
      <c r="B88" s="2" t="s">
        <v>253</v>
      </c>
      <c r="C88" s="2" t="s">
        <v>188</v>
      </c>
      <c r="D88" s="4" t="s">
        <v>51</v>
      </c>
      <c r="E88" s="2"/>
      <c r="F88" s="2"/>
      <c r="G88" s="2"/>
      <c r="H88" s="2"/>
      <c r="I88" s="2"/>
    </row>
    <row r="89" customFormat="false" ht="15" hidden="false" customHeight="false" outlineLevel="0" collapsed="false">
      <c r="A89" s="2" t="s">
        <v>254</v>
      </c>
      <c r="B89" s="2" t="s">
        <v>255</v>
      </c>
      <c r="C89" s="2" t="s">
        <v>188</v>
      </c>
      <c r="D89" s="4" t="s">
        <v>51</v>
      </c>
      <c r="E89" s="2"/>
      <c r="F89" s="2"/>
      <c r="G89" s="2"/>
      <c r="H89" s="2"/>
      <c r="I89" s="2"/>
    </row>
    <row r="90" customFormat="false" ht="15" hidden="false" customHeight="false" outlineLevel="0" collapsed="false">
      <c r="A90" s="2" t="s">
        <v>256</v>
      </c>
      <c r="B90" s="2" t="s">
        <v>257</v>
      </c>
      <c r="C90" s="2" t="s">
        <v>188</v>
      </c>
      <c r="D90" s="6" t="s">
        <v>66</v>
      </c>
      <c r="E90" s="2"/>
      <c r="F90" s="2"/>
      <c r="G90" s="2" t="s">
        <v>58</v>
      </c>
      <c r="H90" s="2" t="s">
        <v>59</v>
      </c>
      <c r="I90" s="2"/>
    </row>
    <row r="91" customFormat="false" ht="23.85" hidden="false" customHeight="false" outlineLevel="0" collapsed="false">
      <c r="A91" s="2" t="s">
        <v>258</v>
      </c>
      <c r="B91" s="2" t="s">
        <v>259</v>
      </c>
      <c r="C91" s="2" t="s">
        <v>188</v>
      </c>
      <c r="D91" s="6" t="s">
        <v>66</v>
      </c>
      <c r="E91" s="2"/>
      <c r="F91" s="2"/>
      <c r="G91" s="2" t="s">
        <v>58</v>
      </c>
      <c r="H91" s="2" t="s">
        <v>59</v>
      </c>
      <c r="I91" s="2"/>
    </row>
    <row r="92" customFormat="false" ht="15" hidden="false" customHeight="false" outlineLevel="0" collapsed="false">
      <c r="A92" s="2" t="s">
        <v>260</v>
      </c>
      <c r="B92" s="2" t="s">
        <v>261</v>
      </c>
      <c r="C92" s="2" t="s">
        <v>188</v>
      </c>
      <c r="D92" s="6" t="s">
        <v>66</v>
      </c>
      <c r="E92" s="2"/>
      <c r="F92" s="2"/>
      <c r="G92" s="2" t="s">
        <v>58</v>
      </c>
      <c r="H92" s="2" t="s">
        <v>59</v>
      </c>
      <c r="I92" s="2"/>
    </row>
    <row r="93" customFormat="false" ht="15" hidden="false" customHeight="false" outlineLevel="0" collapsed="false">
      <c r="A93" s="2" t="s">
        <v>262</v>
      </c>
      <c r="B93" s="2" t="s">
        <v>263</v>
      </c>
      <c r="C93" s="2" t="s">
        <v>188</v>
      </c>
      <c r="D93" s="6" t="s">
        <v>66</v>
      </c>
      <c r="E93" s="2"/>
      <c r="F93" s="2"/>
      <c r="G93" s="2" t="s">
        <v>58</v>
      </c>
      <c r="H93" s="2" t="s">
        <v>59</v>
      </c>
      <c r="I93" s="2"/>
    </row>
    <row r="94" customFormat="false" ht="15" hidden="false" customHeight="false" outlineLevel="0" collapsed="false">
      <c r="A94" s="2" t="s">
        <v>264</v>
      </c>
      <c r="B94" s="2" t="s">
        <v>265</v>
      </c>
      <c r="C94" s="2" t="s">
        <v>188</v>
      </c>
      <c r="D94" s="5" t="s">
        <v>57</v>
      </c>
      <c r="E94" s="2"/>
      <c r="F94" s="2"/>
      <c r="G94" s="2" t="s">
        <v>58</v>
      </c>
      <c r="H94" s="2" t="s">
        <v>59</v>
      </c>
      <c r="I94" s="2"/>
    </row>
  </sheetData>
  <autoFilter ref="A1:I9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7" t="s">
        <v>266</v>
      </c>
      <c r="B1" s="7" t="s">
        <v>267</v>
      </c>
    </row>
    <row r="2" customFormat="false" ht="15" hidden="false" customHeight="false" outlineLevel="0" collapsed="false">
      <c r="A2" s="8" t="s">
        <v>268</v>
      </c>
      <c r="B2" s="8" t="n">
        <v>93</v>
      </c>
    </row>
    <row r="3" customFormat="false" ht="15" hidden="false" customHeight="false" outlineLevel="0" collapsed="false">
      <c r="A3" s="8" t="s">
        <v>269</v>
      </c>
      <c r="B3" s="8" t="n">
        <f aca="false">COUNTIF('Control Tracker'!D:D,"Yes")</f>
        <v>31</v>
      </c>
    </row>
    <row r="4" customFormat="false" ht="15" hidden="false" customHeight="false" outlineLevel="0" collapsed="false">
      <c r="A4" s="8" t="s">
        <v>270</v>
      </c>
      <c r="B4" s="8" t="n">
        <f aca="false">COUNTIF('Control Tracker'!D:D,"Partial")</f>
        <v>28</v>
      </c>
    </row>
    <row r="5" customFormat="false" ht="15" hidden="false" customHeight="false" outlineLevel="0" collapsed="false">
      <c r="A5" s="8" t="s">
        <v>271</v>
      </c>
      <c r="B5" s="8" t="n">
        <f aca="false">COUNTIF('Control Tracker'!D:D,"No")</f>
        <v>34</v>
      </c>
    </row>
    <row r="6" customFormat="false" ht="15" hidden="false" customHeight="false" outlineLevel="0" collapsed="false">
      <c r="A6" s="8" t="s">
        <v>272</v>
      </c>
      <c r="B6" s="8" t="n">
        <f aca="false">COUNTIF('Control Tracker'!E:E,"Pass")+COUNTIF('Control Tracker'!E:E,"Fail")+COUNTIF('Control Tracker'!E:E,"Observation")</f>
        <v>14</v>
      </c>
    </row>
    <row r="7" customFormat="false" ht="15" hidden="false" customHeight="false" outlineLevel="0" collapsed="false">
      <c r="A7" s="8" t="s">
        <v>273</v>
      </c>
      <c r="B7" s="8" t="n">
        <f aca="false">COUNTIF('Control Tracker'!E:E,"Pass")</f>
        <v>7</v>
      </c>
    </row>
    <row r="8" customFormat="false" ht="15" hidden="false" customHeight="false" outlineLevel="0" collapsed="false">
      <c r="A8" s="8" t="s">
        <v>274</v>
      </c>
      <c r="B8" s="8" t="n">
        <f aca="false">COUNTIF('Control Tracker'!E:E,"Fail")</f>
        <v>4</v>
      </c>
    </row>
    <row r="9" customFormat="false" ht="15" hidden="false" customHeight="false" outlineLevel="0" collapsed="false">
      <c r="A9" s="8" t="s">
        <v>275</v>
      </c>
      <c r="B9" s="8" t="n">
        <f aca="false">COUNTIF('Control Tracker'!E:E,"Observation")</f>
        <v>3</v>
      </c>
    </row>
    <row r="10" customFormat="false" ht="15" hidden="false" customHeight="false" outlineLevel="0" collapsed="false">
      <c r="A10" s="8" t="s">
        <v>276</v>
      </c>
      <c r="B10" s="8" t="n">
        <f aca="false">COUNTIF('Control Tracker'!F2:F94,"POA-*")</f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2026-07-23T06:17:24Z</dcterms:created>
  <dc:creator>openpyxl</dc:creator>
  <dc:description/>
  <dc:language>en-US</dc:language>
  <cp:lastModifiedBy/>
  <dcterms:modified xsi:type="dcterms:W3CDTF">2026-07-23T06:17:24Z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